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 Reference" sheetId="1" r:id="rId5"/>
    <sheet state="visible" name="City-Category Data" sheetId="2" r:id="rId6"/>
    <sheet state="visible" name="Pivot Revenue" sheetId="3" r:id="rId7"/>
    <sheet state="visible" name="KPI Summary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<sst xmlns="http://schemas.openxmlformats.org/spreadsheetml/2006/main" count="104" uniqueCount="26">
  <si>
    <t>category</t>
  </si>
  <si>
    <t>city</t>
  </si>
  <si>
    <t>min_price_inr</t>
  </si>
  <si>
    <t>max_price_inr</t>
  </si>
  <si>
    <t>bookings_count</t>
  </si>
  <si>
    <t>AC Repair &amp; Service</t>
  </si>
  <si>
    <t>revenue_inr</t>
  </si>
  <si>
    <t>sla_breaches</t>
  </si>
  <si>
    <t>Salon for Women</t>
  </si>
  <si>
    <t>Bengaluru</t>
  </si>
  <si>
    <t>Salon for Men</t>
  </si>
  <si>
    <t>Deep Home Cleaning</t>
  </si>
  <si>
    <t>Plumbing</t>
  </si>
  <si>
    <t>Electrical Repair</t>
  </si>
  <si>
    <t>total_revenue</t>
  </si>
  <si>
    <t>total_sla_breaches</t>
  </si>
  <si>
    <t>count_of_categories</t>
  </si>
  <si>
    <t>matches_sql_total?</t>
  </si>
  <si>
    <t>Chennai</t>
  </si>
  <si>
    <t>YES</t>
  </si>
  <si>
    <t>SUM of revenue_inr</t>
  </si>
  <si>
    <t>Delhi NCR</t>
  </si>
  <si>
    <t>Grand Total</t>
  </si>
  <si>
    <t>Hyderabad</t>
  </si>
  <si>
    <t>Mumbai</t>
  </si>
  <si>
    <t>Pune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</si>
</sst>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4" xfId="0" applyFont="1" applyNumberFormat="1"/>
    <xf borderId="0" fillId="0" fontId="1" numFmtId="0" xfId="0" applyFont="1"/>
  </cellXfs>
  <cellStyles count="1">
    <cellStyle xfId="0" name="Normal" builtinId="0"/>
  </cellStyles>
  <dxfs count="2">
    <dxf>
      <font/>
      <fill>
        <patternFill patternType="solid">
          <fgColor rgb="FF93C47D"/>
          <bgColor rgb="FF93C47D"/>
        </patternFill>
      </fill>
      <border/>
    </dxf>
    <dxf>
      <font>
        <color theme="1"/>
      </font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28" sheet="City-Category Data"/>
  </cacheSource>
  <cacheFields>
    <cacheField name="city" numFmtId="0">
      <sharedItems>
        <s v="Bengaluru"/>
        <s v="Chennai"/>
        <s v="Delhi NCR"/>
        <s v="Hyderabad"/>
        <s v="Mumbai"/>
        <s v="Pune"/>
      </sharedItems>
    </cacheField>
    <cacheField name="category" numFmtId="0">
      <sharedItems>
        <s v="AC Repair &amp; Service"/>
        <s v="Deep Home Cleaning"/>
        <s v="Electrical Repair"/>
        <s v="Salon for Men"/>
        <s v="Salon for Women"/>
        <s v="Plumbing"/>
      </sharedItems>
    </cacheField>
    <cacheField name="bookings_count" numFmtId="0">
      <sharedItems containsSemiMixedTypes="0" containsString="0" containsNumber="1" containsInteger="1">
        <n v="39.0"/>
        <n v="18.0"/>
        <n v="19.0"/>
        <n v="14.0"/>
        <n v="16.0"/>
        <n v="37.0"/>
        <n v="13.0"/>
        <n v="63.0"/>
        <n v="25.0"/>
        <n v="12.0"/>
        <n v="29.0"/>
        <n v="27.0"/>
        <n v="23.0"/>
        <n v="6.0"/>
        <n v="20.0"/>
        <n v="28.0"/>
        <n v="11.0"/>
        <n v="31.0"/>
        <n v="24.0"/>
      </sharedItems>
    </cacheField>
    <cacheField name="revenue_inr" numFmtId="164">
      <sharedItems containsSemiMixedTypes="0" containsString="0" containsNumber="1" containsInteger="1">
        <n v="60110.0"/>
        <n v="49592.0"/>
        <n v="23082.0"/>
        <n v="13565.0"/>
        <n v="32367.0"/>
        <n v="109499.0"/>
        <n v="13044.0"/>
        <n v="53095.0"/>
        <n v="22760.0"/>
        <n v="63041.0"/>
        <n v="12585.0"/>
        <n v="16065.0"/>
        <n v="26320.0"/>
        <n v="91425.0"/>
        <n v="29032.0"/>
        <n v="11743.0"/>
        <n v="22289.0"/>
        <n v="17149.0"/>
        <n v="29050.0"/>
        <n v="74138.0"/>
        <n v="11360.0"/>
        <n v="23901.0"/>
        <n v="13181.0"/>
        <n v="121469.0"/>
        <n v="31631.0"/>
        <n v="13808.0"/>
        <n v="62672.0"/>
      </sharedItems>
    </cacheField>
    <cacheField name="sla_breaches" numFmtId="0">
      <sharedItems containsSemiMixedTypes="0" containsString="0" containsNumber="1" containsInteger="1">
        <n v="7.0"/>
        <n v="2.0"/>
        <n v="3.0"/>
        <n v="5.0"/>
        <n v="1.0"/>
        <n v="9.0"/>
        <n v="0.0"/>
        <n v="4.0"/>
      </sharedItems>
    </cacheField>
    <cacheField name="min_price_inr" numFmtId="164">
      <sharedItems containsSemiMixedTypes="0" containsString="0" containsNumber="1" containsInteger="1">
        <n v="499.0"/>
        <n v="999.0"/>
        <n v="199.0"/>
        <n v="349.0"/>
        <n v="699.0"/>
      </sharedItems>
    </cacheField>
    <cacheField name="max_price_inr" numFmtId="164">
      <sharedItems containsSemiMixedTypes="0" containsString="0" containsNumber="1" containsInteger="1">
        <n v="2499.0"/>
        <n v="4999.0"/>
        <n v="1999.0"/>
        <n v="1499.0"/>
        <n v="3499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Revenue" cacheId="0" dataCaption="" compact="0" compactData="0">
  <location ref="A1:H9" firstHeaderRow="0" firstDataRow="1" firstDataCol="1"/>
  <pivotFields>
    <pivotField name="cit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category" axis="axisCol" compact="0" outline="0" multipleItemSelectionAllowed="1" showAll="0" sortType="ascending">
      <items>
        <item x="0"/>
        <item x="1"/>
        <item x="2"/>
        <item x="5"/>
        <item x="3"/>
        <item x="4"/>
        <item t="default"/>
      </items>
    </pivotField>
    <pivotField name="bookings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revenue_inr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la_brea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in_price_inr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max_price_inr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colFields>
    <field x="1"/>
  </colFields>
  <dataFields>
    <dataField name="SUM of revenue_inr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1" t="s">
        <v>0</v>
      </c>
      <c r="B1" s="1" t="s">
        <v>2</v>
      </c>
      <c r="C1" s="1" t="s">
        <v>3</v>
      </c>
    </row>
    <row r="2">
      <c r="A2" s="1" t="s">
        <v>5</v>
      </c>
      <c r="B2" s="2">
        <v>499.0</v>
      </c>
      <c r="C2" s="2">
        <v>2499.0</v>
      </c>
    </row>
    <row r="3">
      <c r="A3" s="1" t="s">
        <v>8</v>
      </c>
      <c r="B3" s="2">
        <v>699.0</v>
      </c>
      <c r="C3" s="2">
        <v>3499.0</v>
      </c>
    </row>
    <row r="4">
      <c r="A4" s="1" t="s">
        <v>10</v>
      </c>
      <c r="B4" s="2">
        <v>349.0</v>
      </c>
      <c r="C4" s="2">
        <v>1499.0</v>
      </c>
    </row>
    <row r="5">
      <c r="A5" s="1" t="s">
        <v>11</v>
      </c>
      <c r="B5" s="2">
        <v>999.0</v>
      </c>
      <c r="C5" s="2">
        <v>4999.0</v>
      </c>
    </row>
    <row r="6">
      <c r="A6" s="1" t="s">
        <v>12</v>
      </c>
      <c r="B6" s="2">
        <v>199.0</v>
      </c>
      <c r="C6" s="2">
        <v>1499.0</v>
      </c>
    </row>
    <row r="7">
      <c r="A7" s="1" t="s">
        <v>13</v>
      </c>
      <c r="B7" s="2">
        <v>199.0</v>
      </c>
      <c r="C7" s="2">
        <v>1999.0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1">
      <c r="A1" s="1" t="s">
        <v>1</v>
      </c>
      <c r="B1" s="1" t="s">
        <v>0</v>
      </c>
      <c r="C1" s="1" t="s">
        <v>4</v>
      </c>
      <c r="D1" s="1" t="s">
        <v>6</v>
      </c>
      <c r="E1" s="1" t="s">
        <v>7</v>
      </c>
      <c r="F1" s="1" t="s">
        <v>2</v>
      </c>
      <c r="G1" s="1" t="s">
        <v>3</v>
      </c>
    </row>
    <row r="2">
      <c r="A2" s="1" t="s">
        <v>9</v>
      </c>
      <c r="B2" s="1" t="s">
        <v>5</v>
      </c>
      <c r="C2" s="1">
        <v>39.0</v>
      </c>
      <c r="D2" s="2">
        <v>60110.0</v>
      </c>
      <c r="E2" s="1">
        <v>7.0</v>
      </c>
      <c r="F2" s="3">
        <f>VLOOKUP(B2,'Category Reference'!$A$1:$C$7,2,FALSE)</f>
        <v>499</v>
      </c>
      <c r="G2" s="3">
        <f>VLOOKUP(B2,'Category Reference'!$A$1:$C$7,3,FALSE)</f>
        <v>2499</v>
      </c>
    </row>
    <row r="3">
      <c r="A3" s="1" t="s">
        <v>9</v>
      </c>
      <c r="B3" s="1" t="s">
        <v>11</v>
      </c>
      <c r="C3" s="1">
        <v>18.0</v>
      </c>
      <c r="D3" s="2">
        <v>49592.0</v>
      </c>
      <c r="E3" s="1">
        <v>2.0</v>
      </c>
      <c r="F3" s="3">
        <f>VLOOKUP(B3,'Category Reference'!$A$1:$C$7,2,FALSE)</f>
        <v>999</v>
      </c>
      <c r="G3" s="3">
        <f>VLOOKUP(B3,'Category Reference'!$A$1:$C$7,3,FALSE)</f>
        <v>4999</v>
      </c>
    </row>
    <row r="4">
      <c r="A4" s="1" t="s">
        <v>9</v>
      </c>
      <c r="B4" s="1" t="s">
        <v>13</v>
      </c>
      <c r="C4" s="1">
        <v>19.0</v>
      </c>
      <c r="D4" s="2">
        <v>23082.0</v>
      </c>
      <c r="E4" s="1">
        <v>3.0</v>
      </c>
      <c r="F4" s="3">
        <f>VLOOKUP(B4,'Category Reference'!$A$1:$C$7,2,FALSE)</f>
        <v>199</v>
      </c>
      <c r="G4" s="3">
        <f>VLOOKUP(B4,'Category Reference'!$A$1:$C$7,3,FALSE)</f>
        <v>1999</v>
      </c>
    </row>
    <row r="5">
      <c r="A5" s="1" t="s">
        <v>9</v>
      </c>
      <c r="B5" s="1" t="s">
        <v>10</v>
      </c>
      <c r="C5" s="1">
        <v>14.0</v>
      </c>
      <c r="D5" s="2">
        <v>13565.0</v>
      </c>
      <c r="E5" s="1">
        <v>3.0</v>
      </c>
      <c r="F5" s="3">
        <f>VLOOKUP(B5,'Category Reference'!$A$1:$C$7,2,FALSE)</f>
        <v>349</v>
      </c>
      <c r="G5" s="3">
        <f>VLOOKUP(B5,'Category Reference'!$A$1:$C$7,3,FALSE)</f>
        <v>1499</v>
      </c>
    </row>
    <row r="6">
      <c r="A6" s="1" t="s">
        <v>9</v>
      </c>
      <c r="B6" s="1" t="s">
        <v>8</v>
      </c>
      <c r="C6" s="1">
        <v>16.0</v>
      </c>
      <c r="D6" s="2">
        <v>32367.0</v>
      </c>
      <c r="E6" s="1">
        <v>2.0</v>
      </c>
      <c r="F6" s="3">
        <f>VLOOKUP(B6,'Category Reference'!$A$1:$C$7,2,FALSE)</f>
        <v>699</v>
      </c>
      <c r="G6" s="3">
        <f>VLOOKUP(B6,'Category Reference'!$A$1:$C$7,3,FALSE)</f>
        <v>3499</v>
      </c>
    </row>
    <row r="7">
      <c r="A7" s="1" t="s">
        <v>18</v>
      </c>
      <c r="B7" s="1" t="s">
        <v>11</v>
      </c>
      <c r="C7" s="1">
        <v>37.0</v>
      </c>
      <c r="D7" s="2">
        <v>109499.0</v>
      </c>
      <c r="E7" s="1">
        <v>5.0</v>
      </c>
      <c r="F7" s="3">
        <f>VLOOKUP(B7,'Category Reference'!$A$1:$C$7,2,FALSE)</f>
        <v>999</v>
      </c>
      <c r="G7" s="3">
        <f>VLOOKUP(B7,'Category Reference'!$A$1:$C$7,3,FALSE)</f>
        <v>4999</v>
      </c>
    </row>
    <row r="8">
      <c r="A8" s="1" t="s">
        <v>18</v>
      </c>
      <c r="B8" s="1" t="s">
        <v>13</v>
      </c>
      <c r="C8" s="1">
        <v>13.0</v>
      </c>
      <c r="D8" s="2">
        <v>13044.0</v>
      </c>
      <c r="E8" s="1">
        <v>1.0</v>
      </c>
      <c r="F8" s="3">
        <f>VLOOKUP(B8,'Category Reference'!$A$1:$C$7,2,FALSE)</f>
        <v>199</v>
      </c>
      <c r="G8" s="3">
        <f>VLOOKUP(B8,'Category Reference'!$A$1:$C$7,3,FALSE)</f>
        <v>1999</v>
      </c>
    </row>
    <row r="9">
      <c r="A9" s="1" t="s">
        <v>18</v>
      </c>
      <c r="B9" s="1" t="s">
        <v>12</v>
      </c>
      <c r="C9" s="1">
        <v>63.0</v>
      </c>
      <c r="D9" s="2">
        <v>53095.0</v>
      </c>
      <c r="E9" s="1">
        <v>9.0</v>
      </c>
      <c r="F9" s="3">
        <f>VLOOKUP(B9,'Category Reference'!$A$1:$C$7,2,FALSE)</f>
        <v>199</v>
      </c>
      <c r="G9" s="3">
        <f>VLOOKUP(B9,'Category Reference'!$A$1:$C$7,3,FALSE)</f>
        <v>1499</v>
      </c>
    </row>
    <row r="10">
      <c r="A10" s="1" t="s">
        <v>21</v>
      </c>
      <c r="B10" s="1" t="s">
        <v>5</v>
      </c>
      <c r="C10" s="1">
        <v>14.0</v>
      </c>
      <c r="D10" s="2">
        <v>22760.0</v>
      </c>
      <c r="E10" s="1">
        <v>0.0</v>
      </c>
      <c r="F10" s="3">
        <f>VLOOKUP(B10,'Category Reference'!$A$1:$C$7,2,FALSE)</f>
        <v>499</v>
      </c>
      <c r="G10" s="3">
        <f>VLOOKUP(B10,'Category Reference'!$A$1:$C$7,3,FALSE)</f>
        <v>2499</v>
      </c>
    </row>
    <row r="11">
      <c r="A11" s="1" t="s">
        <v>21</v>
      </c>
      <c r="B11" s="1" t="s">
        <v>11</v>
      </c>
      <c r="C11" s="1">
        <v>25.0</v>
      </c>
      <c r="D11" s="2">
        <v>63041.0</v>
      </c>
      <c r="E11" s="1">
        <v>0.0</v>
      </c>
      <c r="F11" s="3">
        <f>VLOOKUP(B11,'Category Reference'!$A$1:$C$7,2,FALSE)</f>
        <v>999</v>
      </c>
      <c r="G11" s="3">
        <f>VLOOKUP(B11,'Category Reference'!$A$1:$C$7,3,FALSE)</f>
        <v>4999</v>
      </c>
    </row>
    <row r="12">
      <c r="A12" s="1" t="s">
        <v>21</v>
      </c>
      <c r="B12" s="1" t="s">
        <v>13</v>
      </c>
      <c r="C12" s="1">
        <v>12.0</v>
      </c>
      <c r="D12" s="2">
        <v>12585.0</v>
      </c>
      <c r="E12" s="1">
        <v>1.0</v>
      </c>
      <c r="F12" s="3">
        <f>VLOOKUP(B12,'Category Reference'!$A$1:$C$7,2,FALSE)</f>
        <v>199</v>
      </c>
      <c r="G12" s="3">
        <f>VLOOKUP(B12,'Category Reference'!$A$1:$C$7,3,FALSE)</f>
        <v>1999</v>
      </c>
    </row>
    <row r="13">
      <c r="A13" s="1" t="s">
        <v>21</v>
      </c>
      <c r="B13" s="1" t="s">
        <v>12</v>
      </c>
      <c r="C13" s="1">
        <v>19.0</v>
      </c>
      <c r="D13" s="2">
        <v>16065.0</v>
      </c>
      <c r="E13" s="1">
        <v>3.0</v>
      </c>
      <c r="F13" s="3">
        <f>VLOOKUP(B13,'Category Reference'!$A$1:$C$7,2,FALSE)</f>
        <v>199</v>
      </c>
      <c r="G13" s="3">
        <f>VLOOKUP(B13,'Category Reference'!$A$1:$C$7,3,FALSE)</f>
        <v>1499</v>
      </c>
    </row>
    <row r="14">
      <c r="A14" s="1" t="s">
        <v>21</v>
      </c>
      <c r="B14" s="1" t="s">
        <v>8</v>
      </c>
      <c r="C14" s="1">
        <v>13.0</v>
      </c>
      <c r="D14" s="2">
        <v>26320.0</v>
      </c>
      <c r="E14" s="1">
        <v>2.0</v>
      </c>
      <c r="F14" s="3">
        <f>VLOOKUP(B14,'Category Reference'!$A$1:$C$7,2,FALSE)</f>
        <v>699</v>
      </c>
      <c r="G14" s="3">
        <f>VLOOKUP(B14,'Category Reference'!$A$1:$C$7,3,FALSE)</f>
        <v>3499</v>
      </c>
    </row>
    <row r="15">
      <c r="A15" s="1" t="s">
        <v>23</v>
      </c>
      <c r="B15" s="1" t="s">
        <v>11</v>
      </c>
      <c r="C15" s="1">
        <v>29.0</v>
      </c>
      <c r="D15" s="2">
        <v>91425.0</v>
      </c>
      <c r="E15" s="1">
        <v>4.0</v>
      </c>
      <c r="F15" s="3">
        <f>VLOOKUP(B15,'Category Reference'!$A$1:$C$7,2,FALSE)</f>
        <v>999</v>
      </c>
      <c r="G15" s="3">
        <f>VLOOKUP(B15,'Category Reference'!$A$1:$C$7,3,FALSE)</f>
        <v>4999</v>
      </c>
    </row>
    <row r="16">
      <c r="A16" s="1" t="s">
        <v>23</v>
      </c>
      <c r="B16" s="1" t="s">
        <v>13</v>
      </c>
      <c r="C16" s="1">
        <v>27.0</v>
      </c>
      <c r="D16" s="2">
        <v>29032.0</v>
      </c>
      <c r="E16" s="1">
        <v>3.0</v>
      </c>
      <c r="F16" s="3">
        <f>VLOOKUP(B16,'Category Reference'!$A$1:$C$7,2,FALSE)</f>
        <v>199</v>
      </c>
      <c r="G16" s="3">
        <f>VLOOKUP(B16,'Category Reference'!$A$1:$C$7,3,FALSE)</f>
        <v>1999</v>
      </c>
    </row>
    <row r="17">
      <c r="A17" s="1" t="s">
        <v>23</v>
      </c>
      <c r="B17" s="1" t="s">
        <v>12</v>
      </c>
      <c r="C17" s="1">
        <v>13.0</v>
      </c>
      <c r="D17" s="2">
        <v>11743.0</v>
      </c>
      <c r="E17" s="1">
        <v>1.0</v>
      </c>
      <c r="F17" s="3">
        <f>VLOOKUP(B17,'Category Reference'!$A$1:$C$7,2,FALSE)</f>
        <v>199</v>
      </c>
      <c r="G17" s="3">
        <f>VLOOKUP(B17,'Category Reference'!$A$1:$C$7,3,FALSE)</f>
        <v>1499</v>
      </c>
    </row>
    <row r="18">
      <c r="A18" s="1" t="s">
        <v>23</v>
      </c>
      <c r="B18" s="1" t="s">
        <v>10</v>
      </c>
      <c r="C18" s="1">
        <v>23.0</v>
      </c>
      <c r="D18" s="2">
        <v>22289.0</v>
      </c>
      <c r="E18" s="1">
        <v>5.0</v>
      </c>
      <c r="F18" s="3">
        <f>VLOOKUP(B18,'Category Reference'!$A$1:$C$7,2,FALSE)</f>
        <v>349</v>
      </c>
      <c r="G18" s="3">
        <f>VLOOKUP(B18,'Category Reference'!$A$1:$C$7,3,FALSE)</f>
        <v>1499</v>
      </c>
    </row>
    <row r="19">
      <c r="A19" s="1" t="s">
        <v>23</v>
      </c>
      <c r="B19" s="1" t="s">
        <v>8</v>
      </c>
      <c r="C19" s="1">
        <v>6.0</v>
      </c>
      <c r="D19" s="2">
        <v>17149.0</v>
      </c>
      <c r="E19" s="1">
        <v>1.0</v>
      </c>
      <c r="F19" s="3">
        <f>VLOOKUP(B19,'Category Reference'!$A$1:$C$7,2,FALSE)</f>
        <v>699</v>
      </c>
      <c r="G19" s="3">
        <f>VLOOKUP(B19,'Category Reference'!$A$1:$C$7,3,FALSE)</f>
        <v>3499</v>
      </c>
    </row>
    <row r="20">
      <c r="A20" s="1" t="s">
        <v>24</v>
      </c>
      <c r="B20" s="1" t="s">
        <v>5</v>
      </c>
      <c r="C20" s="1">
        <v>20.0</v>
      </c>
      <c r="D20" s="2">
        <v>29050.0</v>
      </c>
      <c r="E20" s="1">
        <v>4.0</v>
      </c>
      <c r="F20" s="3">
        <f>VLOOKUP(B20,'Category Reference'!$A$1:$C$7,2,FALSE)</f>
        <v>499</v>
      </c>
      <c r="G20" s="3">
        <f>VLOOKUP(B20,'Category Reference'!$A$1:$C$7,3,FALSE)</f>
        <v>2499</v>
      </c>
    </row>
    <row r="21">
      <c r="A21" s="1" t="s">
        <v>24</v>
      </c>
      <c r="B21" s="1" t="s">
        <v>11</v>
      </c>
      <c r="C21" s="1">
        <v>28.0</v>
      </c>
      <c r="D21" s="2">
        <v>74138.0</v>
      </c>
      <c r="E21" s="1">
        <v>1.0</v>
      </c>
      <c r="F21" s="3">
        <f>VLOOKUP(B21,'Category Reference'!$A$1:$C$7,2,FALSE)</f>
        <v>999</v>
      </c>
      <c r="G21" s="3">
        <f>VLOOKUP(B21,'Category Reference'!$A$1:$C$7,3,FALSE)</f>
        <v>4999</v>
      </c>
    </row>
    <row r="22">
      <c r="A22" s="1" t="s">
        <v>24</v>
      </c>
      <c r="B22" s="1" t="s">
        <v>13</v>
      </c>
      <c r="C22" s="1">
        <v>11.0</v>
      </c>
      <c r="D22" s="2">
        <v>11360.0</v>
      </c>
      <c r="E22" s="1">
        <v>2.0</v>
      </c>
      <c r="F22" s="3">
        <f>VLOOKUP(B22,'Category Reference'!$A$1:$C$7,2,FALSE)</f>
        <v>199</v>
      </c>
      <c r="G22" s="3">
        <f>VLOOKUP(B22,'Category Reference'!$A$1:$C$7,3,FALSE)</f>
        <v>1999</v>
      </c>
    </row>
    <row r="23">
      <c r="A23" s="1" t="s">
        <v>24</v>
      </c>
      <c r="B23" s="1" t="s">
        <v>10</v>
      </c>
      <c r="C23" s="1">
        <v>27.0</v>
      </c>
      <c r="D23" s="2">
        <v>23901.0</v>
      </c>
      <c r="E23" s="1">
        <v>5.0</v>
      </c>
      <c r="F23" s="3">
        <f>VLOOKUP(B23,'Category Reference'!$A$1:$C$7,2,FALSE)</f>
        <v>349</v>
      </c>
      <c r="G23" s="3">
        <f>VLOOKUP(B23,'Category Reference'!$A$1:$C$7,3,FALSE)</f>
        <v>1499</v>
      </c>
    </row>
    <row r="24">
      <c r="A24" s="1" t="s">
        <v>24</v>
      </c>
      <c r="B24" s="1" t="s">
        <v>8</v>
      </c>
      <c r="C24" s="1">
        <v>6.0</v>
      </c>
      <c r="D24" s="2">
        <v>13181.0</v>
      </c>
      <c r="E24" s="1">
        <v>1.0</v>
      </c>
      <c r="F24" s="3">
        <f>VLOOKUP(B24,'Category Reference'!$A$1:$C$7,2,FALSE)</f>
        <v>699</v>
      </c>
      <c r="G24" s="3">
        <f>VLOOKUP(B24,'Category Reference'!$A$1:$C$7,3,FALSE)</f>
        <v>3499</v>
      </c>
    </row>
    <row r="25">
      <c r="A25" s="1" t="s">
        <v>25</v>
      </c>
      <c r="B25" s="1" t="s">
        <v>11</v>
      </c>
      <c r="C25" s="1">
        <v>39.0</v>
      </c>
      <c r="D25" s="2">
        <v>121469.0</v>
      </c>
      <c r="E25" s="1">
        <v>9.0</v>
      </c>
      <c r="F25" s="3">
        <f>VLOOKUP(B25,'Category Reference'!$A$1:$C$7,2,FALSE)</f>
        <v>999</v>
      </c>
      <c r="G25" s="3">
        <f>VLOOKUP(B25,'Category Reference'!$A$1:$C$7,3,FALSE)</f>
        <v>4999</v>
      </c>
    </row>
    <row r="26">
      <c r="A26" s="1" t="s">
        <v>25</v>
      </c>
      <c r="B26" s="1" t="s">
        <v>13</v>
      </c>
      <c r="C26" s="1">
        <v>31.0</v>
      </c>
      <c r="D26" s="2">
        <v>31631.0</v>
      </c>
      <c r="E26" s="1">
        <v>3.0</v>
      </c>
      <c r="F26" s="3">
        <f>VLOOKUP(B26,'Category Reference'!$A$1:$C$7,2,FALSE)</f>
        <v>199</v>
      </c>
      <c r="G26" s="3">
        <f>VLOOKUP(B26,'Category Reference'!$A$1:$C$7,3,FALSE)</f>
        <v>1999</v>
      </c>
    </row>
    <row r="27">
      <c r="A27" s="1" t="s">
        <v>25</v>
      </c>
      <c r="B27" s="1" t="s">
        <v>10</v>
      </c>
      <c r="C27" s="1">
        <v>14.0</v>
      </c>
      <c r="D27" s="2">
        <v>13808.0</v>
      </c>
      <c r="E27" s="1">
        <v>1.0</v>
      </c>
      <c r="F27" s="3">
        <f>VLOOKUP(B27,'Category Reference'!$A$1:$C$7,2,FALSE)</f>
        <v>349</v>
      </c>
      <c r="G27" s="3">
        <f>VLOOKUP(B27,'Category Reference'!$A$1:$C$7,3,FALSE)</f>
        <v>1499</v>
      </c>
    </row>
    <row r="28">
      <c r="A28" s="1" t="s">
        <v>25</v>
      </c>
      <c r="B28" s="1" t="s">
        <v>8</v>
      </c>
      <c r="C28" s="1">
        <v>24.0</v>
      </c>
      <c r="D28" s="2">
        <v>62672.0</v>
      </c>
      <c r="E28" s="1">
        <v>1.0</v>
      </c>
      <c r="F28" s="3">
        <f>VLOOKUP(B28,'Category Reference'!$A$1:$C$7,2,FALSE)</f>
        <v>699</v>
      </c>
      <c r="G28" s="3">
        <f>VLOOKUP(B28,'Category Reference'!$A$1:$C$7,3,FALSE)</f>
        <v>3499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17.25"/>
    <col customWidth="1" min="5" max="5" width="15.75"/>
  </cols>
  <sheetData>
    <row r="1">
      <c r="A1" s="1" t="s">
        <v>1</v>
      </c>
      <c r="B1" s="1" t="s">
        <v>14</v>
      </c>
      <c r="C1" s="1" t="s">
        <v>15</v>
      </c>
      <c r="D1" s="1" t="s">
        <v>16</v>
      </c>
      <c r="E1" s="1" t="s">
        <v>17</v>
      </c>
    </row>
    <row r="2">
      <c r="A2" s="1" t="s">
        <v>9</v>
      </c>
      <c r="B2" s="4">
        <f>SUMIF('City-Category Data'!$A$2:$A$28,A2,'City-Category Data'!$D$2:$D$28)</f>
        <v>178716</v>
      </c>
      <c r="C2" s="5">
        <f>SUMIF('City-Category Data'!$A$2:$A$28,A2,'City-Category Data'!$E$2:$E$28)</f>
        <v>17</v>
      </c>
      <c r="D2" s="5">
        <f>COUNTIF('City-Category Data'!$A$2:$A$28,A2)</f>
        <v>5</v>
      </c>
      <c r="E2" s="1" t="s">
        <v>19</v>
      </c>
    </row>
    <row r="3">
      <c r="A3" s="1" t="s">
        <v>18</v>
      </c>
      <c r="B3" s="4">
        <f>SUMIF('City-Category Data'!$A$2:$A$28,A3,'City-Category Data'!$D$2:$D$28)</f>
        <v>175638</v>
      </c>
      <c r="C3" s="5">
        <f>SUMIF('City-Category Data'!$A$2:$A$28,A3,'City-Category Data'!$E$2:$E$28)</f>
        <v>15</v>
      </c>
      <c r="D3" s="5">
        <f>COUNTIF('City-Category Data'!$A$2:$A$28,A3)</f>
        <v>3</v>
      </c>
      <c r="E3" s="1" t="s">
        <v>19</v>
      </c>
    </row>
    <row r="4">
      <c r="A4" s="1" t="s">
        <v>21</v>
      </c>
      <c r="B4" s="4">
        <f>SUMIF('City-Category Data'!$A$2:$A$28,A4,'City-Category Data'!$D$2:$D$28)</f>
        <v>140771</v>
      </c>
      <c r="C4" s="5">
        <f>SUMIF('City-Category Data'!$A$2:$A$28,A4,'City-Category Data'!$E$2:$E$28)</f>
        <v>6</v>
      </c>
      <c r="D4" s="5">
        <f>COUNTIF('City-Category Data'!$A$2:$A$28,A4)</f>
        <v>5</v>
      </c>
      <c r="E4" s="1" t="s">
        <v>19</v>
      </c>
    </row>
    <row r="5">
      <c r="A5" s="1" t="s">
        <v>23</v>
      </c>
      <c r="B5" s="4">
        <f>SUMIF('City-Category Data'!$A$2:$A$28,A5,'City-Category Data'!$D$2:$D$28)</f>
        <v>171638</v>
      </c>
      <c r="C5" s="5">
        <f>SUMIF('City-Category Data'!$A$2:$A$28,A5,'City-Category Data'!$E$2:$E$28)</f>
        <v>14</v>
      </c>
      <c r="D5" s="5">
        <f>COUNTIF('City-Category Data'!$A$2:$A$28,A5)</f>
        <v>5</v>
      </c>
      <c r="E5" s="1" t="s">
        <v>19</v>
      </c>
    </row>
    <row r="6">
      <c r="A6" s="1" t="s">
        <v>24</v>
      </c>
      <c r="B6" s="4">
        <f>SUMIF('City-Category Data'!$A$2:$A$28,A6,'City-Category Data'!$D$2:$D$28)</f>
        <v>151630</v>
      </c>
      <c r="C6" s="5">
        <f>SUMIF('City-Category Data'!$A$2:$A$28,A6,'City-Category Data'!$E$2:$E$28)</f>
        <v>13</v>
      </c>
      <c r="D6" s="5">
        <f>COUNTIF('City-Category Data'!$A$2:$A$28,A6)</f>
        <v>5</v>
      </c>
      <c r="E6" s="1" t="s">
        <v>19</v>
      </c>
    </row>
    <row r="7">
      <c r="A7" s="1" t="s">
        <v>25</v>
      </c>
      <c r="B7" s="4">
        <f>SUMIF('City-Category Data'!$A$2:$A$28,A7,'City-Category Data'!$D$2:$D$28)</f>
        <v>229580</v>
      </c>
      <c r="C7" s="5">
        <f>SUMIF('City-Category Data'!$A$2:$A$28,A7,'City-Category Data'!$E$2:$E$28)</f>
        <v>14</v>
      </c>
      <c r="D7" s="5">
        <f>COUNTIF('City-Category Data'!$A$2:$A$28,A7)</f>
        <v>4</v>
      </c>
      <c r="E7" s="1" t="s">
        <v>19</v>
      </c>
    </row>
  </sheetData>
  <conditionalFormatting sqref="B2:B7">
    <cfRule type="expression" dxfId="0" priority="1">
      <formula>B2=MAX($B$2:$B$7)</formula>
    </cfRule>
  </conditionalFormatting>
  <conditionalFormatting sqref="B2:B7">
    <cfRule type="expression" dxfId="1" priority="2">
      <formula>B2=MIN($B$2:$B$7)</formula>
    </cfRule>
  </conditionalFormatting>
  <drawing r:id="rId1"/>
</worksheet>
</file>